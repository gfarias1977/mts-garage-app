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4E02E971-D3B2-4659-A4AB-765AD7F1D7F3}" xr6:coauthVersionLast="47" xr6:coauthVersionMax="47" xr10:uidLastSave="{00000000-0000-0000-0000-000000000000}"/>
  <bookViews>
    <workbookView xWindow="25200" yWindow="622" windowWidth="25260" windowHeight="18616" xr2:uid="{18330C1D-E49B-4774-B83F-BECD3E0BCFD8}"/>
  </bookViews>
  <sheets>
    <sheet name="CLIENTE SPOT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12" l="1"/>
  <c r="F23" i="12"/>
  <c r="F22" i="12"/>
  <c r="E4" i="12"/>
  <c r="F27" i="12" l="1"/>
  <c r="F30" i="12" s="1"/>
  <c r="C1" i="12"/>
</calcChain>
</file>

<file path=xl/sharedStrings.xml><?xml version="1.0" encoding="utf-8"?>
<sst xmlns="http://schemas.openxmlformats.org/spreadsheetml/2006/main" count="46" uniqueCount="38">
  <si>
    <t>NÚMERO DE OC</t>
  </si>
  <si>
    <t>FECHA</t>
  </si>
  <si>
    <t>VENDEDOR</t>
  </si>
  <si>
    <t>CLIENTE</t>
  </si>
  <si>
    <t>NOMBRE</t>
  </si>
  <si>
    <t>NOMBRE DE LA EMPRESA</t>
  </si>
  <si>
    <t>DIRECCIÓN</t>
  </si>
  <si>
    <t>TELÉFONO</t>
  </si>
  <si>
    <t>EMAIL</t>
  </si>
  <si>
    <t>Nota:</t>
  </si>
  <si>
    <t>Subtotal ($)</t>
  </si>
  <si>
    <t>Descuento (%)</t>
  </si>
  <si>
    <t>IVA (%)</t>
  </si>
  <si>
    <t>Otros costos ($)</t>
  </si>
  <si>
    <t>Shipping &amp; Transporte ($)</t>
  </si>
  <si>
    <t>-</t>
  </si>
  <si>
    <t>JOSE PEREZ</t>
  </si>
  <si>
    <t>P. TOTAL NETO</t>
  </si>
  <si>
    <t>COTIZACION VALIDA POR 5 DIAS</t>
  </si>
  <si>
    <t>PATENTE</t>
  </si>
  <si>
    <t>$/ HORA</t>
  </si>
  <si>
    <t>COTIZACIÓN N°</t>
  </si>
  <si>
    <t>REPUESTO</t>
  </si>
  <si>
    <t>$ / REPUESTO</t>
  </si>
  <si>
    <t>TOTAL MONTO A PAGAR</t>
  </si>
  <si>
    <t>Av. Lo Espejo 01565, Logístico Mersán - Bodega 1424 Pasillo 12</t>
  </si>
  <si>
    <t>jose.perez@mtsgarage.cl</t>
  </si>
  <si>
    <t>MECHANIC TECH SOLUTIONS - MTS</t>
  </si>
  <si>
    <t xml:space="preserve">
Estimado Cliente:
Favor leer el detalle enviado, confirmar que las cantidades y los productos o servicios cotizados correspondan a lo que desea comprar.
Si desea pagar vía transferencia bancaria, favor enviar comprobante a correo electrónico : jose.perez@mtsgarage.cl</t>
  </si>
  <si>
    <t>CRISTIANMALDONADO@HABITEORIENTE.CL</t>
  </si>
  <si>
    <t>Descripcion mano de obra</t>
  </si>
  <si>
    <t>INSTALACION Y REPARACION DE BASE PARACHOQUE TRASERO</t>
  </si>
  <si>
    <t>MX4271</t>
  </si>
  <si>
    <t>PARACHOQUE TRASERO</t>
  </si>
  <si>
    <t>FOCO TRASERO</t>
  </si>
  <si>
    <t>COMPAÑIA DE ADIESTRAMIENTO Y SEGURIDAD CANINA K9 SPA</t>
  </si>
  <si>
    <t>SAN SEBASTIAN 2750 OF 603 EDIF SAN SEBASTIAN. LAS CONDES</t>
  </si>
  <si>
    <t>ADIESTAMIENTO SEGURIDAD CANINA A DOMICILIO -  77.926.507-2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</si>
</sst>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&quot;$&quot;* #,##0_ ;_ &quot;$&quot;* \-#,##0_ ;_ &quot;$&quot;* &quot;-&quot;_ ;_ @_ "/>
    <numFmt numFmtId="165" formatCode="_ [$$-340A]* #,##0_ ;_ [$$-340A]* \-#,##0_ ;_ [$$-340A]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9" tint="-0.499984740745262"/>
      <name val="Cooper Black"/>
      <family val="1"/>
    </font>
    <font>
      <b/>
      <sz val="20"/>
      <color theme="1"/>
      <name val="Arial Nova Cond"/>
      <family val="2"/>
    </font>
    <font>
      <b/>
      <sz val="11"/>
      <color theme="1"/>
      <name val="Arial Nova Cond"/>
      <family val="2"/>
    </font>
    <font>
      <b/>
      <sz val="11"/>
      <color theme="0"/>
      <name val="Arial Nova Cond"/>
      <family val="2"/>
    </font>
    <font>
      <sz val="11"/>
      <color theme="2" tint="-0.499984740745262"/>
      <name val="Arial Nova Cond"/>
      <family val="2"/>
    </font>
    <font>
      <b/>
      <sz val="14"/>
      <color theme="1"/>
      <name val="Arial Nova Cond"/>
      <family val="2"/>
    </font>
    <font>
      <b/>
      <sz val="11"/>
      <color theme="2" tint="-0.499984740745262"/>
      <name val="Arial Nova Cond"/>
      <family val="2"/>
    </font>
    <font>
      <sz val="11.5"/>
      <color theme="1"/>
      <name val="Arial Nova Cond"/>
      <family val="2"/>
    </font>
    <font>
      <b/>
      <i/>
      <sz val="11"/>
      <color theme="1"/>
      <name val="Arial Nova Cond"/>
      <family val="2"/>
    </font>
    <font>
      <sz val="7"/>
      <color theme="1"/>
      <name val="Times New Roman"/>
      <family val="1"/>
    </font>
    <font>
      <b/>
      <sz val="48"/>
      <color theme="9" tint="-0.499984740745262"/>
      <name val="Arial Nova Cond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4" fillId="0" borderId="0" applyFont="0" applyFill="0" applyBorder="0" applyAlignment="0" applyProtection="0"/>
  </cellStyleXfs>
  <cellXfs count="87">
    <xf numFmtId="0" fontId="0" fillId="0" borderId="0" xfId="0"/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2" fillId="0" borderId="0" xfId="1" applyAlignment="1">
      <alignment horizontal="left" indent="1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horizontal="right" vertical="center"/>
    </xf>
    <xf numFmtId="0" fontId="2" fillId="0" borderId="0" xfId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5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5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5" fillId="3" borderId="0" xfId="0" applyFont="1" applyFill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6" fillId="5" borderId="2" xfId="0" applyFont="1" applyFill="1" applyBorder="1"/>
    <xf numFmtId="0" fontId="6" fillId="5" borderId="3" xfId="0" applyFont="1" applyFill="1" applyBorder="1"/>
    <xf numFmtId="0" fontId="6" fillId="5" borderId="4" xfId="0" applyFont="1" applyFill="1" applyBorder="1"/>
    <xf numFmtId="0" fontId="0" fillId="0" borderId="5" xfId="0" applyBorder="1"/>
    <xf numFmtId="0" fontId="0" fillId="0" borderId="6" xfId="0" applyBorder="1"/>
    <xf numFmtId="14" fontId="0" fillId="0" borderId="7" xfId="0" applyNumberForma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64" fontId="5" fillId="0" borderId="12" xfId="0" applyNumberFormat="1" applyFont="1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164" fontId="0" fillId="0" borderId="16" xfId="0" applyNumberFormat="1" applyBorder="1"/>
    <xf numFmtId="164" fontId="5" fillId="0" borderId="20" xfId="0" applyNumberFormat="1" applyFont="1" applyBorder="1"/>
    <xf numFmtId="0" fontId="6" fillId="2" borderId="2" xfId="0" applyFont="1" applyFill="1" applyBorder="1" applyAlignment="1">
      <alignment horizontal="center" vertical="center"/>
    </xf>
    <xf numFmtId="0" fontId="0" fillId="0" borderId="7" xfId="0" applyBorder="1"/>
    <xf numFmtId="0" fontId="12" fillId="0" borderId="0" xfId="0" applyFont="1" applyAlignment="1">
      <alignment vertical="center" wrapText="1"/>
    </xf>
    <xf numFmtId="0" fontId="0" fillId="3" borderId="0" xfId="0" applyFill="1"/>
    <xf numFmtId="0" fontId="6" fillId="2" borderId="3" xfId="0" applyFont="1" applyFill="1" applyBorder="1" applyAlignment="1">
      <alignment vertical="center"/>
    </xf>
    <xf numFmtId="0" fontId="8" fillId="0" borderId="29" xfId="0" applyFont="1" applyBorder="1" applyAlignment="1">
      <alignment horizontal="center" vertical="center"/>
    </xf>
    <xf numFmtId="0" fontId="6" fillId="2" borderId="30" xfId="0" applyFont="1" applyFill="1" applyBorder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0" fontId="0" fillId="3" borderId="32" xfId="0" applyFill="1" applyBorder="1"/>
    <xf numFmtId="0" fontId="0" fillId="0" borderId="31" xfId="0" applyBorder="1"/>
    <xf numFmtId="0" fontId="6" fillId="2" borderId="3" xfId="0" applyFont="1" applyFill="1" applyBorder="1" applyAlignment="1">
      <alignment horizontal="center" vertical="center"/>
    </xf>
    <xf numFmtId="164" fontId="0" fillId="0" borderId="31" xfId="0" applyNumberFormat="1" applyBorder="1" applyAlignment="1">
      <alignment vertical="center"/>
    </xf>
    <xf numFmtId="14" fontId="0" fillId="0" borderId="31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165" fontId="0" fillId="0" borderId="0" xfId="0" applyNumberFormat="1"/>
    <xf numFmtId="165" fontId="0" fillId="0" borderId="31" xfId="0" applyNumberFormat="1" applyBorder="1" applyAlignment="1">
      <alignment horizontal="center"/>
    </xf>
    <xf numFmtId="0" fontId="0" fillId="0" borderId="22" xfId="0" applyBorder="1" applyAlignment="1">
      <alignment horizontal="left" vertical="top" wrapText="1"/>
    </xf>
    <xf numFmtId="0" fontId="0" fillId="0" borderId="27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4" borderId="0" xfId="0" quotePrefix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2" fillId="0" borderId="0" xfId="1" applyFill="1" applyAlignment="1">
      <alignment vertical="center"/>
    </xf>
    <xf numFmtId="0" fontId="2" fillId="0" borderId="0" xfId="1" applyAlignment="1">
      <alignment vertical="center"/>
    </xf>
    <xf numFmtId="0" fontId="6" fillId="2" borderId="3" xfId="0" applyFont="1" applyFill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9" fontId="11" fillId="3" borderId="33" xfId="2" applyFont="1" applyFill="1" applyBorder="1" applyAlignment="1">
      <alignment horizontal="center" vertical="center"/>
    </xf>
    <xf numFmtId="9" fontId="11" fillId="3" borderId="34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right" vertical="center" shrinkToFit="1"/>
    </xf>
    <xf numFmtId="0" fontId="3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left" vertical="center" shrinkToFit="1"/>
    </xf>
  </cellXfs>
  <cellStyles count="3">
    <cellStyle name="Hyperlink" xfId="1" builtinId="8"/>
    <cellStyle name="Normal" xfId="0" builtinId="0"/>
    <cellStyle name="Percent" xfId="2" builtinId="5"/>
  </cellStyles>
  <dxfs count="1">
    <dxf>
      <fill>
        <patternFill>
          <bgColor rgb="FFFF0000"/>
        </patternFill>
      </fill>
    </dxf>
  </dxfs>
  <tableStyles count="2" defaultTableStyle="TableStyleMedium2" defaultPivotStyle="PivotStyleLight16">
    <tableStyle name="Invisible" pivot="0" table="0" count="0" xr9:uid="{1E572A1D-3236-4ABA-A689-42EAACCCE054}"/>
    <tableStyle name="Estilo de tabla dinámica 1" table="0" count="1" xr9:uid="{5117DA19-E92D-4FA9-97FA-5C4EFE07B08B}">
      <tableStyleElement type="pageFieldLabel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204107</xdr:colOff>
      <xdr:row>0</xdr:row>
      <xdr:rowOff>136071</xdr:rowOff>
    </xdr:from>
    <xdr:to>
      <xdr:col>0</xdr:col>
      <xdr:colOff>1245201</xdr:colOff>
      <xdr:row>4</xdr:row>
      <xdr:rowOff>108856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2C425D-3714-4071-BFC8-BA50F8C3D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07" y="136071"/>
          <a:ext cx="1041094" cy="108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se.perez@mtsgarage.cl" TargetMode="External"/><Relationship Id="rId1" Type="http://schemas.openxmlformats.org/officeDocument/2006/relationships/hyperlink" Target="mailto:CRISTIANMALDONADO@HABITEORIENTE.C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A115-D4D8-48C0-BFE9-9D5553B5E66C}">
  <sheetPr>
    <pageSetUpPr fitToPage="1"/>
  </sheetPr>
  <dimension ref="A1:I46"/>
  <sheetViews>
    <sheetView showGridLines="0" tabSelected="1" zoomScale="70" zoomScaleNormal="70" workbookViewId="0">
      <selection activeCell="A17" sqref="A17"/>
    </sheetView>
  </sheetViews>
  <sheetFormatPr defaultColWidth="10.6640625" defaultRowHeight="14.25" x14ac:dyDescent="0.45"/>
  <cols>
    <col min="1" max="1" width="42.53125" bestFit="1" customWidth="1"/>
    <col min="2" max="2" width="75" bestFit="1" customWidth="1"/>
    <col min="3" max="3" width="47.265625" bestFit="1" customWidth="1"/>
    <col min="4" max="6" width="22.46484375" customWidth="1"/>
    <col min="7" max="9" width="14" bestFit="1" customWidth="1"/>
  </cols>
  <sheetData>
    <row r="1" spans="1:6" ht="24.75" x14ac:dyDescent="0.45">
      <c r="A1" s="84" t="s">
        <v>21</v>
      </c>
      <c r="B1" s="84"/>
      <c r="C1" s="85" t="str">
        <f>E4</f>
        <v>46065MX4271</v>
      </c>
      <c r="D1" s="1"/>
      <c r="E1" s="2"/>
      <c r="F1" s="2"/>
    </row>
    <row r="2" spans="1:6" ht="25.15" thickBot="1" x14ac:dyDescent="0.5">
      <c r="A2" s="84"/>
      <c r="B2" s="84"/>
      <c r="C2" s="85"/>
      <c r="D2" s="1"/>
      <c r="E2" s="2"/>
      <c r="F2" s="2"/>
    </row>
    <row r="3" spans="1:6" ht="14.65" thickBot="1" x14ac:dyDescent="0.5">
      <c r="A3" s="3"/>
      <c r="B3" s="86"/>
      <c r="C3" s="86"/>
      <c r="D3" s="86"/>
      <c r="E3" s="4" t="s">
        <v>0</v>
      </c>
      <c r="F3" s="38" t="s">
        <v>1</v>
      </c>
    </row>
    <row r="4" spans="1:6" ht="17.649999999999999" thickBot="1" x14ac:dyDescent="0.5">
      <c r="A4" s="5"/>
      <c r="B4" s="86"/>
      <c r="C4" s="86"/>
      <c r="D4" s="86"/>
      <c r="E4" s="37" t="str">
        <f>+F4&amp;A22</f>
        <v>46065MX4271</v>
      </c>
      <c r="F4" s="39">
        <v>46065</v>
      </c>
    </row>
    <row r="5" spans="1:6" x14ac:dyDescent="0.45">
      <c r="A5" s="8"/>
      <c r="B5" s="86"/>
      <c r="C5" s="86"/>
      <c r="D5" s="86"/>
      <c r="E5" s="7"/>
      <c r="F5" s="7"/>
    </row>
    <row r="6" spans="1:6" x14ac:dyDescent="0.45">
      <c r="A6" s="9" t="s">
        <v>2</v>
      </c>
      <c r="B6" s="9"/>
      <c r="C6" s="9" t="s">
        <v>3</v>
      </c>
      <c r="D6" s="9"/>
      <c r="E6" s="9"/>
      <c r="F6" s="9"/>
    </row>
    <row r="7" spans="1:6" x14ac:dyDescent="0.45">
      <c r="A7" s="10" t="s">
        <v>4</v>
      </c>
      <c r="B7" s="11"/>
      <c r="C7" s="13" t="s">
        <v>4</v>
      </c>
      <c r="D7" s="13"/>
      <c r="E7" s="12"/>
      <c r="F7" s="12"/>
    </row>
    <row r="8" spans="1:6" x14ac:dyDescent="0.45">
      <c r="A8" s="60" t="s">
        <v>16</v>
      </c>
      <c r="B8" s="60"/>
      <c r="C8" s="83" t="s">
        <v>37</v>
      </c>
      <c r="D8" s="83"/>
      <c r="E8" s="83"/>
      <c r="F8" s="83"/>
    </row>
    <row r="9" spans="1:6" ht="14.65" x14ac:dyDescent="0.45">
      <c r="A9" s="10" t="s">
        <v>5</v>
      </c>
      <c r="B9" s="11"/>
      <c r="C9" s="13" t="s">
        <v>5</v>
      </c>
      <c r="D9" s="13"/>
      <c r="E9" s="14"/>
      <c r="F9" s="14"/>
    </row>
    <row r="10" spans="1:6" x14ac:dyDescent="0.45">
      <c r="A10" s="60" t="s">
        <v>27</v>
      </c>
      <c r="B10" s="60"/>
      <c r="C10" s="83" t="s">
        <v>35</v>
      </c>
      <c r="D10" s="83"/>
      <c r="E10" s="83"/>
      <c r="F10" s="83"/>
    </row>
    <row r="11" spans="1:6" ht="15" x14ac:dyDescent="0.45">
      <c r="A11" s="15" t="s">
        <v>6</v>
      </c>
      <c r="B11" s="16"/>
      <c r="C11" s="17" t="s">
        <v>6</v>
      </c>
      <c r="D11" s="17"/>
      <c r="E11" s="18"/>
      <c r="F11" s="18"/>
    </row>
    <row r="12" spans="1:6" ht="15" customHeight="1" x14ac:dyDescent="0.45">
      <c r="A12" s="57" t="s">
        <v>25</v>
      </c>
      <c r="B12" s="57"/>
      <c r="C12" s="58" t="s">
        <v>36</v>
      </c>
      <c r="D12" s="58"/>
      <c r="E12" s="59"/>
      <c r="F12" s="59"/>
    </row>
    <row r="13" spans="1:6" x14ac:dyDescent="0.45">
      <c r="A13" s="57"/>
      <c r="B13" s="57"/>
      <c r="C13" s="59"/>
      <c r="D13" s="59"/>
      <c r="E13" s="59"/>
      <c r="F13" s="59"/>
    </row>
    <row r="14" spans="1:6" ht="15" x14ac:dyDescent="0.45">
      <c r="A14" s="15" t="s">
        <v>7</v>
      </c>
      <c r="B14" s="16"/>
      <c r="C14" s="17" t="s">
        <v>7</v>
      </c>
      <c r="D14" s="17"/>
      <c r="E14" s="18"/>
      <c r="F14" s="18"/>
    </row>
    <row r="15" spans="1:6" x14ac:dyDescent="0.45">
      <c r="A15" s="60"/>
      <c r="B15" s="60"/>
      <c r="C15" s="61" t="s">
        <v>15</v>
      </c>
      <c r="D15" s="61"/>
      <c r="E15" s="62"/>
      <c r="F15" s="62"/>
    </row>
    <row r="16" spans="1:6" ht="15" x14ac:dyDescent="0.45">
      <c r="A16" s="15" t="s">
        <v>8</v>
      </c>
      <c r="B16" s="16"/>
      <c r="C16" s="17" t="s">
        <v>8</v>
      </c>
      <c r="D16" s="17"/>
      <c r="E16" s="18"/>
      <c r="F16" s="18"/>
    </row>
    <row r="17" spans="1:9" x14ac:dyDescent="0.45">
      <c r="A17" s="6" t="s">
        <v>26</v>
      </c>
      <c r="B17" s="8"/>
      <c r="C17" s="63" t="s">
        <v>29</v>
      </c>
      <c r="D17" s="63"/>
      <c r="E17" s="64"/>
      <c r="F17" s="64"/>
    </row>
    <row r="18" spans="1:9" ht="15" x14ac:dyDescent="0.45">
      <c r="A18" s="19"/>
      <c r="B18" s="18"/>
      <c r="C18" s="18"/>
      <c r="D18" s="18"/>
      <c r="E18" s="18"/>
      <c r="F18" s="18"/>
    </row>
    <row r="19" spans="1:9" x14ac:dyDescent="0.45">
      <c r="A19" s="20"/>
      <c r="B19" s="21"/>
      <c r="C19" s="20"/>
      <c r="D19" s="21"/>
      <c r="E19" s="22"/>
      <c r="F19" s="22"/>
    </row>
    <row r="20" spans="1:9" x14ac:dyDescent="0.45">
      <c r="A20" s="23"/>
      <c r="B20" s="24"/>
      <c r="C20" s="23"/>
      <c r="D20" s="24"/>
      <c r="E20" s="33"/>
      <c r="F20" s="25"/>
    </row>
    <row r="21" spans="1:9" x14ac:dyDescent="0.45">
      <c r="A21" s="26" t="s">
        <v>19</v>
      </c>
      <c r="B21" s="32" t="s">
        <v>30</v>
      </c>
      <c r="C21" s="32" t="s">
        <v>22</v>
      </c>
      <c r="D21" s="42" t="s">
        <v>20</v>
      </c>
      <c r="E21" s="42" t="s">
        <v>23</v>
      </c>
      <c r="F21" s="36" t="s">
        <v>17</v>
      </c>
    </row>
    <row r="22" spans="1:9" ht="15" customHeight="1" x14ac:dyDescent="0.45">
      <c r="A22" s="44" t="s">
        <v>32</v>
      </c>
      <c r="B22" s="45" t="s">
        <v>31</v>
      </c>
      <c r="C22" s="41" t="s">
        <v>33</v>
      </c>
      <c r="D22" s="47">
        <v>0</v>
      </c>
      <c r="E22" s="47">
        <v>175960</v>
      </c>
      <c r="F22" s="43">
        <f>+D22+E22</f>
        <v>175960</v>
      </c>
      <c r="G22" s="46"/>
      <c r="H22" s="46"/>
      <c r="I22" s="46"/>
    </row>
    <row r="23" spans="1:9" ht="15" customHeight="1" x14ac:dyDescent="0.45">
      <c r="A23" s="44" t="s">
        <v>32</v>
      </c>
      <c r="B23" s="45" t="s">
        <v>15</v>
      </c>
      <c r="C23" s="41" t="s">
        <v>34</v>
      </c>
      <c r="D23" s="47">
        <v>0</v>
      </c>
      <c r="E23" s="47">
        <v>21060</v>
      </c>
      <c r="F23" s="43">
        <f>+D23+E23</f>
        <v>21060</v>
      </c>
      <c r="G23" s="46"/>
      <c r="H23" s="46"/>
    </row>
    <row r="24" spans="1:9" ht="14.65" thickBot="1" x14ac:dyDescent="0.5">
      <c r="A24" s="40"/>
      <c r="B24" s="35"/>
      <c r="C24" s="35"/>
      <c r="D24" s="35"/>
      <c r="E24" s="35"/>
      <c r="F24" s="35"/>
    </row>
    <row r="25" spans="1:9" ht="14.65" thickBot="1" x14ac:dyDescent="0.5">
      <c r="A25" s="65" t="s">
        <v>9</v>
      </c>
      <c r="B25" s="65"/>
      <c r="C25" s="66" t="s">
        <v>10</v>
      </c>
      <c r="D25" s="67"/>
      <c r="E25" s="68"/>
      <c r="F25" s="27">
        <f>+SUM(F22:F23)</f>
        <v>197020</v>
      </c>
      <c r="G25" s="46"/>
      <c r="H25" s="46"/>
      <c r="I25" s="46"/>
    </row>
    <row r="26" spans="1:9" ht="14.65" customHeight="1" x14ac:dyDescent="0.45">
      <c r="A26" s="69" t="s">
        <v>15</v>
      </c>
      <c r="B26" s="70"/>
      <c r="C26" s="28" t="s">
        <v>11</v>
      </c>
      <c r="D26" s="29"/>
      <c r="E26" s="81">
        <v>0.19</v>
      </c>
      <c r="F26" s="30">
        <v>0</v>
      </c>
    </row>
    <row r="27" spans="1:9" ht="14.65" customHeight="1" x14ac:dyDescent="0.45">
      <c r="A27" s="71" t="s">
        <v>18</v>
      </c>
      <c r="B27" s="72"/>
      <c r="C27" s="28" t="s">
        <v>12</v>
      </c>
      <c r="D27" s="29"/>
      <c r="E27" s="82"/>
      <c r="F27" s="30">
        <f>+F25*E26</f>
        <v>37433.800000000003</v>
      </c>
    </row>
    <row r="28" spans="1:9" x14ac:dyDescent="0.45">
      <c r="A28" s="71"/>
      <c r="B28" s="72"/>
      <c r="C28" s="75" t="s">
        <v>13</v>
      </c>
      <c r="D28" s="76"/>
      <c r="E28" s="77"/>
      <c r="F28" s="30">
        <v>0</v>
      </c>
    </row>
    <row r="29" spans="1:9" x14ac:dyDescent="0.45">
      <c r="A29" s="71"/>
      <c r="B29" s="72"/>
      <c r="C29" s="75" t="s">
        <v>14</v>
      </c>
      <c r="D29" s="76"/>
      <c r="E29" s="77"/>
      <c r="F29" s="30">
        <v>0</v>
      </c>
    </row>
    <row r="30" spans="1:9" ht="14.65" thickBot="1" x14ac:dyDescent="0.5">
      <c r="A30" s="73"/>
      <c r="B30" s="74"/>
      <c r="C30" s="78" t="s">
        <v>24</v>
      </c>
      <c r="D30" s="79"/>
      <c r="E30" s="80"/>
      <c r="F30" s="31">
        <f>+F25+F27</f>
        <v>234453.8</v>
      </c>
    </row>
    <row r="32" spans="1:9" ht="14.65" thickBot="1" x14ac:dyDescent="0.5"/>
    <row r="33" spans="2:6" x14ac:dyDescent="0.45">
      <c r="B33" s="48" t="s">
        <v>28</v>
      </c>
      <c r="C33" s="49"/>
      <c r="D33" s="49"/>
      <c r="E33" s="49"/>
      <c r="F33" s="50"/>
    </row>
    <row r="34" spans="2:6" x14ac:dyDescent="0.45">
      <c r="B34" s="51"/>
      <c r="C34" s="52"/>
      <c r="D34" s="52"/>
      <c r="E34" s="52"/>
      <c r="F34" s="53"/>
    </row>
    <row r="35" spans="2:6" x14ac:dyDescent="0.45">
      <c r="B35" s="51"/>
      <c r="C35" s="52"/>
      <c r="D35" s="52"/>
      <c r="E35" s="52"/>
      <c r="F35" s="53"/>
    </row>
    <row r="36" spans="2:6" x14ac:dyDescent="0.45">
      <c r="B36" s="51"/>
      <c r="C36" s="52"/>
      <c r="D36" s="52"/>
      <c r="E36" s="52"/>
      <c r="F36" s="53"/>
    </row>
    <row r="37" spans="2:6" x14ac:dyDescent="0.45">
      <c r="B37" s="51"/>
      <c r="C37" s="52"/>
      <c r="D37" s="52"/>
      <c r="E37" s="52"/>
      <c r="F37" s="53"/>
    </row>
    <row r="38" spans="2:6" ht="14.65" thickBot="1" x14ac:dyDescent="0.5">
      <c r="B38" s="54"/>
      <c r="C38" s="55"/>
      <c r="D38" s="55"/>
      <c r="E38" s="55"/>
      <c r="F38" s="56"/>
    </row>
    <row r="43" spans="2:6" x14ac:dyDescent="0.45">
      <c r="E43" s="34"/>
    </row>
    <row r="44" spans="2:6" x14ac:dyDescent="0.45">
      <c r="E44" s="34"/>
    </row>
    <row r="45" spans="2:6" x14ac:dyDescent="0.45">
      <c r="E45" s="34"/>
    </row>
    <row r="46" spans="2:6" x14ac:dyDescent="0.45">
      <c r="E46" s="34"/>
    </row>
  </sheetData>
  <mergeCells count="21">
    <mergeCell ref="A10:B10"/>
    <mergeCell ref="C10:F10"/>
    <mergeCell ref="A1:B2"/>
    <mergeCell ref="C1:C2"/>
    <mergeCell ref="B3:D5"/>
    <mergeCell ref="A8:B8"/>
    <mergeCell ref="C8:F8"/>
    <mergeCell ref="B33:F38"/>
    <mergeCell ref="A12:B13"/>
    <mergeCell ref="C12:F13"/>
    <mergeCell ref="A15:B15"/>
    <mergeCell ref="C15:F15"/>
    <mergeCell ref="C17:F17"/>
    <mergeCell ref="A25:B25"/>
    <mergeCell ref="C25:E25"/>
    <mergeCell ref="A26:B26"/>
    <mergeCell ref="A27:B30"/>
    <mergeCell ref="C28:E28"/>
    <mergeCell ref="C29:E29"/>
    <mergeCell ref="C30:E30"/>
    <mergeCell ref="E26:E27"/>
  </mergeCells>
  <hyperlinks>
    <hyperlink ref="C17" r:id="rId1" xr:uid="{75298800-08D5-417D-BDF5-8A5987B58BD5}"/>
    <hyperlink ref="A17" r:id="rId2" xr:uid="{22040CB0-7FD6-4343-B59D-473812A2F83F}"/>
  </hyperlinks>
  <pageMargins left="0.70866141732283472" right="0.70866141732283472" top="0.74803149606299213" bottom="0.74803149606299213" header="0.31496062992125984" footer="0.31496062992125984"/>
  <pageSetup paperSize="9" scale="56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 SPOT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YZAGUIRRE</dc:creator>
  <cp:lastModifiedBy>Gustavo Farias</cp:lastModifiedBy>
  <cp:lastPrinted>2026-02-12T18:13:39Z</cp:lastPrinted>
  <dcterms:created xsi:type="dcterms:W3CDTF">2023-06-02T20:39:06Z</dcterms:created>
  <dcterms:modified xsi:type="dcterms:W3CDTF">2026-03-20T16:35:36Z</dcterms:modified>
</cp:coreProperties>
</file>